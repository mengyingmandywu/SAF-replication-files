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"/>
    </mc:Choice>
  </mc:AlternateContent>
  <xr:revisionPtr revIDLastSave="0" documentId="13_ncr:1_{2CC4DFC5-9410-E248-AB6D-2BF9AE4367A2}" xr6:coauthVersionLast="47" xr6:coauthVersionMax="47" xr10:uidLastSave="{00000000-0000-0000-0000-000000000000}"/>
  <bookViews>
    <workbookView xWindow="1860" yWindow="1820" windowWidth="27300" windowHeight="16160" xr2:uid="{0DF09A70-DA55-5844-A660-116B60854172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<sst xmlns="http://schemas.openxmlformats.org/spreadsheetml/2006/main" count="6" uniqueCount="6">
  <si>
    <t>State tax credit</t>
  </si>
  <si>
    <t>Jet fuel volume_mean</t>
  </si>
  <si>
    <t>Jet fuel volume_10th</t>
  </si>
  <si>
    <t>Jet fuel volume_33th</t>
  </si>
  <si>
    <t>Jet fuel volume_67th</t>
  </si>
  <si>
    <t>Jet fuel volume_90th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</si>
</sst>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2"/>
      <color theme="1"/>
      <name val="ArialMT"/>
      <family val="2"/>
    </font>
    <font>
      <sz val="12"/>
      <color theme="1"/>
      <name val="ArialMT"/>
      <family val="2"/>
    </font>
    <font>
      <b/>
      <sz val="12"/>
      <color theme="1"/>
      <name val="ArialMT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2" fontId="3" fillId="0" borderId="0" xfId="1" applyNumberFormat="1" applyFont="1" applyAlignment="1">
      <alignment wrapText="1"/>
    </xf>
    <xf numFmtId="164" fontId="3" fillId="0" borderId="0" xfId="1" applyNumberFormat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dywu/Library/CloudStorage/Dropbox/Aviation-SI%20project/Spreadsheets/input%20parameters/State_level_taxes.xlsx" TargetMode="External"/><Relationship Id="rId1" Type="http://schemas.openxmlformats.org/officeDocument/2006/relationships/externalLinkPath" Target="/Users/Mandywu/Library/CloudStorage/Dropbox/Aviation-SI%20project/Spreadsheets/input%20parameters/State_level_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">
          <cell r="B20">
            <v>2.2769662921348317</v>
          </cell>
          <cell r="E20">
            <v>6.4352856109905999E-4</v>
          </cell>
          <cell r="F20">
            <v>6.4352856109905999E-4</v>
          </cell>
          <cell r="G20">
            <v>6.4352856109905999E-4</v>
          </cell>
          <cell r="H20">
            <v>6.4352856109905999E-4</v>
          </cell>
          <cell r="I20">
            <v>6.4352856109905999E-4</v>
          </cell>
        </row>
        <row r="21">
          <cell r="B21">
            <v>1.75</v>
          </cell>
          <cell r="E21">
            <v>4.0643528561099061E-2</v>
          </cell>
          <cell r="F21">
            <v>4.0643528561099061E-2</v>
          </cell>
          <cell r="G21">
            <v>4.0643528561099061E-2</v>
          </cell>
          <cell r="H21">
            <v>4.0643528561099061E-2</v>
          </cell>
          <cell r="I21">
            <v>4.0643528561099061E-2</v>
          </cell>
        </row>
        <row r="22">
          <cell r="B22">
            <v>1.5</v>
          </cell>
          <cell r="E22">
            <v>0.58029349178381462</v>
          </cell>
          <cell r="F22">
            <v>0.56347418169081354</v>
          </cell>
          <cell r="G22">
            <v>0.57224023898950438</v>
          </cell>
          <cell r="H22">
            <v>0.58924558280315609</v>
          </cell>
          <cell r="I22">
            <v>0.5966436204066079</v>
          </cell>
        </row>
        <row r="23">
          <cell r="B23">
            <v>1.3769662921348313</v>
          </cell>
          <cell r="E23">
            <v>0.98256842538754385</v>
          </cell>
          <cell r="F23">
            <v>0.95398954739337938</v>
          </cell>
          <cell r="G23">
            <v>0.96888457463551292</v>
          </cell>
          <cell r="H23">
            <v>0.99777955566695276</v>
          </cell>
          <cell r="I23">
            <v>1.0103500839999353</v>
          </cell>
        </row>
        <row r="24">
          <cell r="B24">
            <v>0.35526315789473684</v>
          </cell>
          <cell r="E24">
            <v>1.0388647216838403</v>
          </cell>
          <cell r="F24">
            <v>1.0102858436896758</v>
          </cell>
          <cell r="G24">
            <v>1.0251808709318093</v>
          </cell>
          <cell r="H24">
            <v>1.0540758519632492</v>
          </cell>
          <cell r="I24">
            <v>1.0666463802962316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7409-E75F-BF4A-B62F-D2BE8FD8AAC7}">
  <dimension ref="A1:F7"/>
  <sheetViews>
    <sheetView tabSelected="1" workbookViewId="0">
      <selection activeCell="E3" sqref="E3"/>
    </sheetView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f>[1]Sheet1!B20</f>
        <v>2.2769662921348317</v>
      </c>
      <c r="B2" s="3">
        <f>[1]Sheet1!E20</f>
        <v>6.4352856109905999E-4</v>
      </c>
      <c r="C2" s="3">
        <f>[1]Sheet1!F20</f>
        <v>6.4352856109905999E-4</v>
      </c>
      <c r="D2" s="3">
        <f>[1]Sheet1!G20</f>
        <v>6.4352856109905999E-4</v>
      </c>
      <c r="E2" s="3">
        <f>[1]Sheet1!H20</f>
        <v>6.4352856109905999E-4</v>
      </c>
      <c r="F2" s="3">
        <f>[1]Sheet1!I20</f>
        <v>6.4352856109905999E-4</v>
      </c>
    </row>
    <row r="3" spans="1:6">
      <c r="A3" s="2">
        <f>[1]Sheet1!B21</f>
        <v>1.75</v>
      </c>
      <c r="B3" s="3">
        <f>[1]Sheet1!E21</f>
        <v>4.0643528561099061E-2</v>
      </c>
      <c r="C3" s="3">
        <f>[1]Sheet1!F21</f>
        <v>4.0643528561099061E-2</v>
      </c>
      <c r="D3" s="3">
        <f>[1]Sheet1!G21</f>
        <v>4.0643528561099061E-2</v>
      </c>
      <c r="E3" s="3">
        <f>[1]Sheet1!H21</f>
        <v>4.0643528561099061E-2</v>
      </c>
      <c r="F3" s="3">
        <f>[1]Sheet1!I21</f>
        <v>4.0643528561099061E-2</v>
      </c>
    </row>
    <row r="4" spans="1:6">
      <c r="A4" s="2">
        <f>[1]Sheet1!B22</f>
        <v>1.5</v>
      </c>
      <c r="B4" s="2">
        <f>[1]Sheet1!E22</f>
        <v>0.58029349178381462</v>
      </c>
      <c r="C4" s="2">
        <f>[1]Sheet1!F22</f>
        <v>0.56347418169081354</v>
      </c>
      <c r="D4" s="2">
        <f>[1]Sheet1!G22</f>
        <v>0.57224023898950438</v>
      </c>
      <c r="E4" s="2">
        <f>[1]Sheet1!H22</f>
        <v>0.58924558280315609</v>
      </c>
      <c r="F4" s="2">
        <f>[1]Sheet1!I22</f>
        <v>0.5966436204066079</v>
      </c>
    </row>
    <row r="5" spans="1:6">
      <c r="A5" s="2">
        <f>[1]Sheet1!B23</f>
        <v>1.3769662921348313</v>
      </c>
      <c r="B5" s="2">
        <f>[1]Sheet1!E23</f>
        <v>0.98256842538754385</v>
      </c>
      <c r="C5" s="2">
        <f>[1]Sheet1!F23</f>
        <v>0.95398954739337938</v>
      </c>
      <c r="D5" s="2">
        <f>[1]Sheet1!G23</f>
        <v>0.96888457463551292</v>
      </c>
      <c r="E5" s="2">
        <f>[1]Sheet1!H23</f>
        <v>0.99777955566695276</v>
      </c>
      <c r="F5" s="2">
        <f>[1]Sheet1!I23</f>
        <v>1.0103500839999353</v>
      </c>
    </row>
    <row r="6" spans="1:6">
      <c r="A6" s="2">
        <f>[1]Sheet1!B24</f>
        <v>0.35526315789473684</v>
      </c>
      <c r="B6" s="2">
        <f>[1]Sheet1!E24</f>
        <v>1.0388647216838403</v>
      </c>
      <c r="C6" s="2">
        <f>[1]Sheet1!F24</f>
        <v>1.0102858436896758</v>
      </c>
      <c r="D6" s="2">
        <f>[1]Sheet1!G24</f>
        <v>1.0251808709318093</v>
      </c>
      <c r="E6" s="2">
        <f>[1]Sheet1!H24</f>
        <v>1.0540758519632492</v>
      </c>
      <c r="F6" s="2">
        <f>[1]Sheet1!I24</f>
        <v>1.0666463802962316</v>
      </c>
    </row>
    <row r="7" spans="1:6">
      <c r="A7" s="2">
        <v>0</v>
      </c>
      <c r="B7">
        <v>100</v>
      </c>
      <c r="C7">
        <v>100</v>
      </c>
      <c r="D7">
        <v>100</v>
      </c>
      <c r="E7">
        <v>100</v>
      </c>
      <c r="F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2025-10-19T21:20:46Z</dcterms:created>
  <dcterms:modified xsi:type="dcterms:W3CDTF">2025-10-19T21:20:55Z</dcterms:modified>
</cp:coreProperties>
</file>