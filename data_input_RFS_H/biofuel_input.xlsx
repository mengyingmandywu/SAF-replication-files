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dywu/Library/CloudStorage/Dropbox/Aviation-SI project/Spreadsheets/Policy_projection/code/robustness_check/code/data_input_RFS_H/"/>
    </mc:Choice>
  </mc:AlternateContent>
  <xr:revisionPtr revIDLastSave="0" documentId="13_ncr:1_{12C39239-5E2B-1D47-B5B7-FB4F250D1550}" xr6:coauthVersionLast="47" xr6:coauthVersionMax="47" xr10:uidLastSave="{00000000-0000-0000-0000-000000000000}"/>
  <bookViews>
    <workbookView xWindow="3600" yWindow="1540" windowWidth="25520" windowHeight="16320" activeTab="3" xr2:uid="{96D1F4A2-2902-4F41-872D-91640C3B1080}"/>
  </bookViews>
  <sheets>
    <sheet name="phi" sheetId="2" r:id="rId1"/>
    <sheet name="PC" sheetId="3" r:id="rId2"/>
    <sheet name="Conversion" sheetId="4" r:id="rId3"/>
    <sheet name="CI" sheetId="5" r:id="rId4"/>
    <sheet name="LCFS_standards" sheetId="6" r:id="rId5"/>
    <sheet name="ED_LCFS" sheetId="9" r:id="rId6"/>
    <sheet name="BW_constraint" sheetId="7" r:id="rId7"/>
    <sheet name="RFS_kappa" sheetId="8" r:id="rId8"/>
    <sheet name="baseline" sheetId="10" r:id="rId9"/>
  </sheets>
  <definedNames>
    <definedName name="_xlnm._FilterDatabase" localSheetId="3" hidden="1">CI!$A$1:$I$25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E13" i="4" s="1"/>
  <c r="E12" i="4"/>
  <c r="D12" i="4"/>
  <c r="D11" i="4"/>
  <c r="E11" i="4" s="1"/>
  <c r="D10" i="4"/>
  <c r="E10" i="4" s="1"/>
  <c r="E9" i="4"/>
  <c r="D9" i="4"/>
  <c r="E8" i="4"/>
  <c r="D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<sst xmlns="http://schemas.openxmlformats.org/spreadsheetml/2006/main" count="287" uniqueCount="98">
  <si>
    <t>Production costs</t>
  </si>
  <si>
    <t>Sources</t>
  </si>
  <si>
    <t>PC_B100_soyoil</t>
  </si>
  <si>
    <t>USD/gallon</t>
  </si>
  <si>
    <t>PC_B100_animalfat</t>
  </si>
  <si>
    <t>PC_RD_soyoil</t>
  </si>
  <si>
    <t>PC_RD_animalfat</t>
  </si>
  <si>
    <t>PC_SAF_soyoil</t>
  </si>
  <si>
    <t>PC_SAF_animalfat</t>
  </si>
  <si>
    <t>PC_SAF_corn_ETJ</t>
  </si>
  <si>
    <t>PC_SAF_corn_ETJCCS</t>
  </si>
  <si>
    <t>PC_SAF_sugarcane_ETJ</t>
  </si>
  <si>
    <t>PC_SAF_sugarcane_ETJCCS</t>
  </si>
  <si>
    <t>PC_gasE100_corn</t>
  </si>
  <si>
    <t>PC_gasE100_sugarcane</t>
  </si>
  <si>
    <t>Feedstock costs</t>
  </si>
  <si>
    <t>Conversion_SAF_soyoil</t>
  </si>
  <si>
    <t>Conversion_SAF_animalfat</t>
  </si>
  <si>
    <t>Conversion_SAF_corn_ETJ</t>
  </si>
  <si>
    <t>Conversion_SAF_corn_ETJCCS</t>
  </si>
  <si>
    <t>Conversion_SAF_sugarcane_ETJ</t>
  </si>
  <si>
    <t>Conversion_SAF_sugarcane_ETJCCS</t>
  </si>
  <si>
    <t>Conversion_gasE100_corn</t>
  </si>
  <si>
    <t>Conversion_gasE100_sugarcane</t>
  </si>
  <si>
    <t>B100</t>
  </si>
  <si>
    <t>RD</t>
  </si>
  <si>
    <t>SAF</t>
  </si>
  <si>
    <t>CI_B100_soyoil_CA</t>
  </si>
  <si>
    <t>CI_B100_animal fat_CA</t>
  </si>
  <si>
    <t>CI_RD_soyoil_CA</t>
  </si>
  <si>
    <t>CI_RD_animal fat_CA</t>
  </si>
  <si>
    <t>CI_SAF_soyoil_CA</t>
  </si>
  <si>
    <t>CI_SAF_animal fat_CA</t>
  </si>
  <si>
    <t>CI_SAF_corn_ETJ_CA</t>
  </si>
  <si>
    <t>CI_SAF_corn_ETJCCS_CA</t>
  </si>
  <si>
    <t>CI_SAF_sugarcane_ETJ_CA</t>
  </si>
  <si>
    <t>CI_SAF_sugarcane_ETJCCS_CA</t>
  </si>
  <si>
    <t>CI_gasE100_corn_CA</t>
  </si>
  <si>
    <t>CI_gasE100_sugarcane_CA</t>
  </si>
  <si>
    <t>CI_B100_soyoil_NC</t>
  </si>
  <si>
    <t>CI_B100_animal fat_NC</t>
  </si>
  <si>
    <t>CI_RD_soyoil_NC</t>
  </si>
  <si>
    <t>CI_RD_animal fat_NC</t>
  </si>
  <si>
    <t>CI_SAF_soyoil_NC</t>
  </si>
  <si>
    <t>CI_SAF_animal fat_NC</t>
  </si>
  <si>
    <t>CI_SAF_corn_ETJ_NC</t>
  </si>
  <si>
    <t>CI_SAF_corn_ETJCCS_NC</t>
  </si>
  <si>
    <t>CI_SAF_sugarcane_ETJ_NC</t>
  </si>
  <si>
    <t>CI_SAF_sugarcane_ETJCCS_NC</t>
  </si>
  <si>
    <t>CI_gasE100_corn_NC</t>
  </si>
  <si>
    <t>CI_gasE100_sugarcane_NC</t>
  </si>
  <si>
    <t>pound/gallon</t>
  </si>
  <si>
    <t>bushel/gallon</t>
  </si>
  <si>
    <t>ton/gallon</t>
  </si>
  <si>
    <t>Conversion_demand</t>
  </si>
  <si>
    <t>Conversion</t>
  </si>
  <si>
    <t>D</t>
  </si>
  <si>
    <t>G</t>
  </si>
  <si>
    <t>J</t>
  </si>
  <si>
    <t>CI_std_LCFS</t>
  </si>
  <si>
    <t>CI_std_LCFS_new</t>
  </si>
  <si>
    <t>CA</t>
  </si>
  <si>
    <t>NC</t>
  </si>
  <si>
    <t>f</t>
  </si>
  <si>
    <t>s</t>
  </si>
  <si>
    <t>phi</t>
  </si>
  <si>
    <t>PC</t>
  </si>
  <si>
    <t>soyoil</t>
  </si>
  <si>
    <t>animalfat</t>
  </si>
  <si>
    <t>gasE100</t>
  </si>
  <si>
    <t>corn</t>
  </si>
  <si>
    <t>sugarcane</t>
  </si>
  <si>
    <t>Conversion_B100_soyoil</t>
  </si>
  <si>
    <t>Conversion_B100_animal fat</t>
  </si>
  <si>
    <t>Conversion_RD_soyoil</t>
  </si>
  <si>
    <t>Conversion_RD_animalfat</t>
  </si>
  <si>
    <t>F</t>
  </si>
  <si>
    <t>j</t>
  </si>
  <si>
    <t>kappa_RFS</t>
  </si>
  <si>
    <t>CI_LCFS</t>
  </si>
  <si>
    <t>CI_Tax_PreOBBBA</t>
  </si>
  <si>
    <t>CI_Tax</t>
  </si>
  <si>
    <t>ED_LCFS</t>
  </si>
  <si>
    <t>BW_constraints</t>
  </si>
  <si>
    <t>phi_ed</t>
  </si>
  <si>
    <t>CCS_tech</t>
  </si>
  <si>
    <t>CI_EPA</t>
  </si>
  <si>
    <t>B0_CA</t>
  </si>
  <si>
    <t>B0</t>
  </si>
  <si>
    <t>E0_CA</t>
  </si>
  <si>
    <t>E0</t>
  </si>
  <si>
    <t>J0_CA</t>
  </si>
  <si>
    <t>J0</t>
  </si>
  <si>
    <t>B0_NC</t>
  </si>
  <si>
    <t>E0_NC</t>
  </si>
  <si>
    <t>J0_NC</t>
  </si>
  <si>
    <t>CI_LCFS_actual</t>
  </si>
  <si>
    <t>CI_Emissions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</si>
</sst>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>
    <font>
      <sz val="12"/>
      <color theme="1"/>
      <name val="ArialMT"/>
      <family val="2"/>
    </font>
    <font>
      <sz val="12"/>
      <color theme="1"/>
      <name val="ArialMT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b/>
      <i/>
      <sz val="12"/>
      <color theme="1"/>
      <name val="ArialMT"/>
    </font>
    <font>
      <sz val="12"/>
      <color theme="1"/>
      <name val="ArialM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2" fontId="3" fillId="0" borderId="0" xfId="0" applyNumberFormat="1" applyFont="1"/>
    <xf numFmtId="0" fontId="4" fillId="0" borderId="0" xfId="0" applyFont="1"/>
    <xf numFmtId="0" fontId="3" fillId="0" borderId="0" xfId="0" applyFont="1"/>
    <xf numFmtId="2" fontId="0" fillId="0" borderId="0" xfId="0" applyNumberFormat="1"/>
    <xf numFmtId="2" fontId="3" fillId="0" borderId="0" xfId="1" applyNumberFormat="1" applyFont="1"/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3" fillId="0" borderId="0" xfId="1" applyNumberFormat="1" applyFont="1" applyAlignment="1">
      <alignment horizontal="left"/>
    </xf>
    <xf numFmtId="164" fontId="3" fillId="0" borderId="0" xfId="0" applyNumberFormat="1" applyFont="1"/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5" fillId="0" borderId="0" xfId="0" applyFont="1"/>
    <xf numFmtId="2" fontId="5" fillId="0" borderId="0" xfId="0" applyNumberFormat="1" applyFont="1"/>
    <xf numFmtId="2" fontId="0" fillId="2" borderId="0" xfId="0" applyNumberForma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9CEA-4F5C-314D-9CAA-520B4B116427}">
  <dimension ref="A1:C5"/>
  <sheetViews>
    <sheetView workbookViewId="0">
      <selection activeCell="C4" sqref="C4"/>
    </sheetView>
  </sheetViews>
  <sheetFormatPr baseColWidth="10" defaultRowHeight="16"/>
  <cols>
    <col min="1" max="1" width="24.85546875" bestFit="1" customWidth="1"/>
    <col min="2" max="2" width="4.42578125" bestFit="1" customWidth="1"/>
  </cols>
  <sheetData>
    <row r="1" spans="1:3">
      <c r="A1" s="4" t="s">
        <v>63</v>
      </c>
      <c r="B1" t="s">
        <v>65</v>
      </c>
      <c r="C1" s="9" t="s">
        <v>84</v>
      </c>
    </row>
    <row r="2" spans="1:3">
      <c r="A2" s="4" t="s">
        <v>24</v>
      </c>
      <c r="B2" s="6">
        <v>0.93</v>
      </c>
      <c r="C2" s="10">
        <v>0.93</v>
      </c>
    </row>
    <row r="3" spans="1:3">
      <c r="A3" s="4" t="s">
        <v>25</v>
      </c>
      <c r="B3" s="6">
        <v>0.96</v>
      </c>
      <c r="C3" s="10">
        <v>0.96</v>
      </c>
    </row>
    <row r="4" spans="1:3">
      <c r="A4" s="4" t="s">
        <v>26</v>
      </c>
      <c r="B4" s="6">
        <v>1</v>
      </c>
      <c r="C4" s="10">
        <v>1</v>
      </c>
    </row>
    <row r="5" spans="1:3">
      <c r="A5" s="4" t="s">
        <v>69</v>
      </c>
      <c r="B5" s="6">
        <v>1</v>
      </c>
      <c r="C5" s="10">
        <v>0.67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877C-FDFC-AA4C-AE45-AE82B46D2E0A}">
  <dimension ref="A1:F13"/>
  <sheetViews>
    <sheetView workbookViewId="0">
      <selection activeCell="G15" sqref="G15"/>
    </sheetView>
  </sheetViews>
  <sheetFormatPr baseColWidth="10" defaultRowHeight="16"/>
  <cols>
    <col min="1" max="1" width="25" bestFit="1" customWidth="1"/>
    <col min="2" max="4" width="14" customWidth="1"/>
  </cols>
  <sheetData>
    <row r="1" spans="1:6">
      <c r="A1" t="s">
        <v>0</v>
      </c>
      <c r="B1" t="s">
        <v>63</v>
      </c>
      <c r="C1" t="s">
        <v>64</v>
      </c>
      <c r="D1" t="s">
        <v>85</v>
      </c>
      <c r="E1" t="s">
        <v>66</v>
      </c>
      <c r="F1" s="3" t="s">
        <v>1</v>
      </c>
    </row>
    <row r="2" spans="1:6">
      <c r="A2" t="s">
        <v>2</v>
      </c>
      <c r="B2" t="s">
        <v>24</v>
      </c>
      <c r="C2" t="s">
        <v>67</v>
      </c>
      <c r="D2">
        <v>0</v>
      </c>
      <c r="E2" s="5">
        <v>1.190954909668634</v>
      </c>
      <c r="F2" s="4" t="s">
        <v>3</v>
      </c>
    </row>
    <row r="3" spans="1:6">
      <c r="A3" t="s">
        <v>4</v>
      </c>
      <c r="B3" t="s">
        <v>24</v>
      </c>
      <c r="C3" t="s">
        <v>68</v>
      </c>
      <c r="D3">
        <v>0</v>
      </c>
      <c r="E3" s="5">
        <v>1.190954909668634</v>
      </c>
      <c r="F3" s="4" t="s">
        <v>3</v>
      </c>
    </row>
    <row r="4" spans="1:6">
      <c r="A4" t="s">
        <v>5</v>
      </c>
      <c r="B4" t="s">
        <v>25</v>
      </c>
      <c r="C4" t="s">
        <v>67</v>
      </c>
      <c r="D4">
        <v>0</v>
      </c>
      <c r="E4" s="5">
        <v>1.5475296788421129</v>
      </c>
      <c r="F4" s="4" t="s">
        <v>3</v>
      </c>
    </row>
    <row r="5" spans="1:6">
      <c r="A5" t="s">
        <v>6</v>
      </c>
      <c r="B5" t="s">
        <v>25</v>
      </c>
      <c r="C5" t="s">
        <v>68</v>
      </c>
      <c r="D5">
        <v>0</v>
      </c>
      <c r="E5" s="5">
        <v>1.5475296788421129</v>
      </c>
      <c r="F5" s="4" t="s">
        <v>3</v>
      </c>
    </row>
    <row r="6" spans="1:6">
      <c r="A6" t="s">
        <v>7</v>
      </c>
      <c r="B6" t="s">
        <v>26</v>
      </c>
      <c r="C6" t="s">
        <v>67</v>
      </c>
      <c r="D6">
        <v>0</v>
      </c>
      <c r="E6" s="5">
        <v>1.6321415717154675</v>
      </c>
      <c r="F6" s="4" t="s">
        <v>3</v>
      </c>
    </row>
    <row r="7" spans="1:6">
      <c r="A7" t="s">
        <v>8</v>
      </c>
      <c r="B7" t="s">
        <v>26</v>
      </c>
      <c r="C7" t="s">
        <v>68</v>
      </c>
      <c r="D7">
        <v>0</v>
      </c>
      <c r="E7" s="5">
        <v>1.6321415717154675</v>
      </c>
      <c r="F7" s="4" t="s">
        <v>3</v>
      </c>
    </row>
    <row r="8" spans="1:6">
      <c r="A8" t="s">
        <v>9</v>
      </c>
      <c r="B8" t="s">
        <v>26</v>
      </c>
      <c r="C8" t="s">
        <v>70</v>
      </c>
      <c r="D8">
        <v>0</v>
      </c>
      <c r="E8" s="5">
        <v>4.8001578956127435</v>
      </c>
      <c r="F8" s="4" t="s">
        <v>3</v>
      </c>
    </row>
    <row r="9" spans="1:6">
      <c r="A9" t="s">
        <v>10</v>
      </c>
      <c r="B9" t="s">
        <v>26</v>
      </c>
      <c r="C9" t="s">
        <v>70</v>
      </c>
      <c r="D9">
        <v>1</v>
      </c>
      <c r="E9" s="5">
        <v>4.9857752356036649</v>
      </c>
      <c r="F9" s="4" t="s">
        <v>3</v>
      </c>
    </row>
    <row r="10" spans="1:6">
      <c r="A10" t="s">
        <v>11</v>
      </c>
      <c r="B10" t="s">
        <v>26</v>
      </c>
      <c r="C10" t="s">
        <v>71</v>
      </c>
      <c r="D10">
        <v>0</v>
      </c>
      <c r="E10" s="5">
        <v>6.0745781950191917</v>
      </c>
      <c r="F10" s="4" t="s">
        <v>3</v>
      </c>
    </row>
    <row r="11" spans="1:6">
      <c r="A11" t="s">
        <v>12</v>
      </c>
      <c r="B11" t="s">
        <v>26</v>
      </c>
      <c r="C11" t="s">
        <v>71</v>
      </c>
      <c r="D11">
        <v>1</v>
      </c>
      <c r="E11" s="5">
        <v>6.2601955350101131</v>
      </c>
      <c r="F11" s="4" t="s">
        <v>3</v>
      </c>
    </row>
    <row r="12" spans="1:6">
      <c r="A12" t="s">
        <v>13</v>
      </c>
      <c r="B12" t="s">
        <v>69</v>
      </c>
      <c r="C12" t="s">
        <v>70</v>
      </c>
      <c r="D12">
        <v>0</v>
      </c>
      <c r="E12" s="5">
        <v>0.82777813087653185</v>
      </c>
      <c r="F12" s="4" t="s">
        <v>3</v>
      </c>
    </row>
    <row r="13" spans="1:6">
      <c r="A13" t="s">
        <v>14</v>
      </c>
      <c r="B13" t="s">
        <v>69</v>
      </c>
      <c r="C13" t="s">
        <v>71</v>
      </c>
      <c r="D13">
        <v>0</v>
      </c>
      <c r="E13" s="5">
        <v>1.5774371305273833</v>
      </c>
      <c r="F13" s="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D032-91ED-714E-807B-5E1703135ED0}">
  <dimension ref="A1:F13"/>
  <sheetViews>
    <sheetView workbookViewId="0">
      <selection activeCell="B30" sqref="B30"/>
    </sheetView>
  </sheetViews>
  <sheetFormatPr baseColWidth="10" defaultRowHeight="16"/>
  <cols>
    <col min="1" max="1" width="31.85546875" bestFit="1" customWidth="1"/>
    <col min="2" max="3" width="14" customWidth="1"/>
  </cols>
  <sheetData>
    <row r="1" spans="1:6">
      <c r="A1" s="1" t="s">
        <v>15</v>
      </c>
      <c r="B1" t="s">
        <v>63</v>
      </c>
      <c r="C1" t="s">
        <v>64</v>
      </c>
      <c r="D1" s="1" t="s">
        <v>55</v>
      </c>
      <c r="E1" s="1" t="s">
        <v>54</v>
      </c>
    </row>
    <row r="2" spans="1:6">
      <c r="A2" s="4" t="s">
        <v>72</v>
      </c>
      <c r="B2" t="s">
        <v>24</v>
      </c>
      <c r="C2" t="s">
        <v>67</v>
      </c>
      <c r="D2" s="2">
        <v>7.55</v>
      </c>
      <c r="E2" s="2">
        <f>D2</f>
        <v>7.55</v>
      </c>
      <c r="F2" s="8" t="s">
        <v>51</v>
      </c>
    </row>
    <row r="3" spans="1:6">
      <c r="A3" s="4" t="s">
        <v>73</v>
      </c>
      <c r="B3" t="s">
        <v>24</v>
      </c>
      <c r="C3" t="s">
        <v>68</v>
      </c>
      <c r="D3" s="2">
        <v>7.55</v>
      </c>
      <c r="E3" s="2">
        <f t="shared" ref="E3:E13" si="0">D3</f>
        <v>7.55</v>
      </c>
      <c r="F3" s="8" t="s">
        <v>51</v>
      </c>
    </row>
    <row r="4" spans="1:6">
      <c r="A4" s="4" t="s">
        <v>74</v>
      </c>
      <c r="B4" t="s">
        <v>25</v>
      </c>
      <c r="C4" t="s">
        <v>67</v>
      </c>
      <c r="D4" s="2">
        <v>8.5</v>
      </c>
      <c r="E4" s="2">
        <f t="shared" si="0"/>
        <v>8.5</v>
      </c>
      <c r="F4" s="8" t="s">
        <v>51</v>
      </c>
    </row>
    <row r="5" spans="1:6">
      <c r="A5" s="4" t="s">
        <v>75</v>
      </c>
      <c r="B5" t="s">
        <v>25</v>
      </c>
      <c r="C5" t="s">
        <v>68</v>
      </c>
      <c r="D5" s="2">
        <v>8.5</v>
      </c>
      <c r="E5" s="2">
        <f t="shared" si="0"/>
        <v>8.5</v>
      </c>
      <c r="F5" s="8" t="s">
        <v>51</v>
      </c>
    </row>
    <row r="6" spans="1:6">
      <c r="A6" s="4" t="s">
        <v>16</v>
      </c>
      <c r="B6" t="s">
        <v>26</v>
      </c>
      <c r="C6" t="s">
        <v>67</v>
      </c>
      <c r="D6" s="2">
        <v>9</v>
      </c>
      <c r="E6" s="2">
        <f t="shared" si="0"/>
        <v>9</v>
      </c>
      <c r="F6" s="8" t="s">
        <v>51</v>
      </c>
    </row>
    <row r="7" spans="1:6">
      <c r="A7" s="4" t="s">
        <v>17</v>
      </c>
      <c r="B7" t="s">
        <v>26</v>
      </c>
      <c r="C7" t="s">
        <v>68</v>
      </c>
      <c r="D7" s="2">
        <v>9</v>
      </c>
      <c r="E7" s="2">
        <f t="shared" si="0"/>
        <v>9</v>
      </c>
      <c r="F7" s="8" t="s">
        <v>51</v>
      </c>
    </row>
    <row r="8" spans="1:6">
      <c r="A8" s="4" t="s">
        <v>18</v>
      </c>
      <c r="B8" t="s">
        <v>26</v>
      </c>
      <c r="C8" t="s">
        <v>70</v>
      </c>
      <c r="D8" s="11">
        <f>(1/2.85*2/3)*1.7</f>
        <v>0.39766081871345027</v>
      </c>
      <c r="E8" s="2">
        <f>(1/2.85)*1.7</f>
        <v>0.59649122807017541</v>
      </c>
      <c r="F8" s="8" t="s">
        <v>52</v>
      </c>
    </row>
    <row r="9" spans="1:6">
      <c r="A9" s="4" t="s">
        <v>19</v>
      </c>
      <c r="B9" t="s">
        <v>26</v>
      </c>
      <c r="C9" t="s">
        <v>70</v>
      </c>
      <c r="D9" s="11">
        <f>(1/2.85*2/3)*1.7</f>
        <v>0.39766081871345027</v>
      </c>
      <c r="E9" s="2">
        <f>(1/2.85)*1.7</f>
        <v>0.59649122807017541</v>
      </c>
      <c r="F9" s="8" t="s">
        <v>52</v>
      </c>
    </row>
    <row r="10" spans="1:6">
      <c r="A10" s="4" t="s">
        <v>20</v>
      </c>
      <c r="B10" t="s">
        <v>26</v>
      </c>
      <c r="C10" t="s">
        <v>71</v>
      </c>
      <c r="D10" s="11">
        <f>1/19.5*1.7</f>
        <v>8.7179487179487175E-2</v>
      </c>
      <c r="E10" s="2">
        <f t="shared" si="0"/>
        <v>8.7179487179487175E-2</v>
      </c>
      <c r="F10" s="8" t="s">
        <v>53</v>
      </c>
    </row>
    <row r="11" spans="1:6">
      <c r="A11" s="4" t="s">
        <v>21</v>
      </c>
      <c r="B11" t="s">
        <v>26</v>
      </c>
      <c r="C11" t="s">
        <v>71</v>
      </c>
      <c r="D11" s="11">
        <f>1/19.5*1.7</f>
        <v>8.7179487179487175E-2</v>
      </c>
      <c r="E11" s="2">
        <f t="shared" si="0"/>
        <v>8.7179487179487175E-2</v>
      </c>
      <c r="F11" s="8" t="s">
        <v>53</v>
      </c>
    </row>
    <row r="12" spans="1:6">
      <c r="A12" s="4" t="s">
        <v>22</v>
      </c>
      <c r="B12" t="s">
        <v>69</v>
      </c>
      <c r="C12" t="s">
        <v>70</v>
      </c>
      <c r="D12" s="11">
        <f>1/2.85*2/3</f>
        <v>0.23391812865497075</v>
      </c>
      <c r="E12" s="2">
        <f>1/2.85</f>
        <v>0.35087719298245612</v>
      </c>
      <c r="F12" s="8" t="s">
        <v>52</v>
      </c>
    </row>
    <row r="13" spans="1:6">
      <c r="A13" s="4" t="s">
        <v>23</v>
      </c>
      <c r="B13" t="s">
        <v>69</v>
      </c>
      <c r="C13" t="s">
        <v>71</v>
      </c>
      <c r="D13" s="11">
        <f>1/19.5</f>
        <v>5.128205128205128E-2</v>
      </c>
      <c r="E13" s="2">
        <f t="shared" si="0"/>
        <v>5.128205128205128E-2</v>
      </c>
      <c r="F13" s="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B999-5EA7-FD46-9FD5-E31975DAD0E0}">
  <dimension ref="A1:K25"/>
  <sheetViews>
    <sheetView tabSelected="1" workbookViewId="0">
      <selection activeCell="K1" sqref="K1:K25"/>
    </sheetView>
  </sheetViews>
  <sheetFormatPr baseColWidth="10" defaultRowHeight="16"/>
  <cols>
    <col min="1" max="1" width="24.28515625" style="13" bestFit="1" customWidth="1"/>
    <col min="2" max="3" width="11.5703125"/>
    <col min="4" max="4" width="5.28515625" customWidth="1"/>
    <col min="5" max="5" width="9" bestFit="1" customWidth="1"/>
    <col min="6" max="6" width="13.42578125" style="13" customWidth="1"/>
    <col min="7" max="7" width="16.28515625" style="12" bestFit="1" customWidth="1"/>
    <col min="8" max="8" width="10.7109375" style="12"/>
    <col min="9" max="9" width="10.7109375" style="5"/>
    <col min="10" max="10" width="13.85546875" bestFit="1" customWidth="1"/>
  </cols>
  <sheetData>
    <row r="1" spans="1:11">
      <c r="B1" t="s">
        <v>63</v>
      </c>
      <c r="C1" t="s">
        <v>64</v>
      </c>
      <c r="D1" t="s">
        <v>77</v>
      </c>
      <c r="E1" t="s">
        <v>85</v>
      </c>
      <c r="F1" s="13" t="s">
        <v>79</v>
      </c>
      <c r="G1" s="12" t="s">
        <v>80</v>
      </c>
      <c r="H1" s="12" t="s">
        <v>81</v>
      </c>
      <c r="I1" s="5" t="s">
        <v>86</v>
      </c>
      <c r="J1" t="s">
        <v>96</v>
      </c>
      <c r="K1" s="4" t="s">
        <v>97</v>
      </c>
    </row>
    <row r="2" spans="1:11">
      <c r="A2" s="9" t="s">
        <v>27</v>
      </c>
      <c r="B2" t="s">
        <v>24</v>
      </c>
      <c r="C2" t="s">
        <v>67</v>
      </c>
      <c r="D2" t="s">
        <v>61</v>
      </c>
      <c r="E2">
        <v>0</v>
      </c>
      <c r="F2" s="9">
        <v>47.527631578947357</v>
      </c>
      <c r="G2" s="12">
        <v>30.856666666666666</v>
      </c>
      <c r="H2" s="12">
        <v>21.636666666666667</v>
      </c>
      <c r="I2" s="5">
        <v>40.719302670851889</v>
      </c>
      <c r="J2" s="5"/>
      <c r="K2" s="4">
        <v>47.53</v>
      </c>
    </row>
    <row r="3" spans="1:11">
      <c r="A3" s="12" t="s">
        <v>28</v>
      </c>
      <c r="B3" t="s">
        <v>24</v>
      </c>
      <c r="C3" t="s">
        <v>68</v>
      </c>
      <c r="D3" t="s">
        <v>61</v>
      </c>
      <c r="E3">
        <v>0</v>
      </c>
      <c r="F3" s="12">
        <v>23.33632653061224</v>
      </c>
      <c r="G3" s="7">
        <v>17.954999999999998</v>
      </c>
      <c r="H3" s="7">
        <v>17.954999999999998</v>
      </c>
      <c r="I3" s="5">
        <v>13.039868412690929</v>
      </c>
      <c r="J3" s="5"/>
      <c r="K3" s="4">
        <v>23.34</v>
      </c>
    </row>
    <row r="4" spans="1:11">
      <c r="A4" s="12" t="s">
        <v>29</v>
      </c>
      <c r="B4" t="s">
        <v>25</v>
      </c>
      <c r="C4" t="s">
        <v>67</v>
      </c>
      <c r="D4" t="s">
        <v>61</v>
      </c>
      <c r="E4">
        <v>0</v>
      </c>
      <c r="F4" s="12">
        <v>49.967500000000001</v>
      </c>
      <c r="G4" s="7">
        <v>35.046666666666667</v>
      </c>
      <c r="H4" s="7">
        <v>24.606666666666666</v>
      </c>
      <c r="I4" s="5">
        <v>34.776972270553657</v>
      </c>
      <c r="J4" s="5"/>
      <c r="K4" s="4">
        <v>49.97</v>
      </c>
    </row>
    <row r="5" spans="1:11">
      <c r="A5" s="9" t="s">
        <v>30</v>
      </c>
      <c r="B5" t="s">
        <v>25</v>
      </c>
      <c r="C5" t="s">
        <v>68</v>
      </c>
      <c r="D5" t="s">
        <v>61</v>
      </c>
      <c r="E5">
        <v>0</v>
      </c>
      <c r="F5" s="9">
        <v>33.885599999999997</v>
      </c>
      <c r="G5" s="12">
        <v>16.685000000000002</v>
      </c>
      <c r="H5" s="12">
        <v>16.685000000000002</v>
      </c>
      <c r="I5" s="5">
        <v>13.039868412690929</v>
      </c>
      <c r="J5" s="5"/>
      <c r="K5" s="4">
        <v>33.89</v>
      </c>
    </row>
    <row r="6" spans="1:11">
      <c r="A6" s="9" t="s">
        <v>31</v>
      </c>
      <c r="B6" t="s">
        <v>26</v>
      </c>
      <c r="C6" t="s">
        <v>67</v>
      </c>
      <c r="D6" t="s">
        <v>61</v>
      </c>
      <c r="E6">
        <v>0</v>
      </c>
      <c r="F6" s="9">
        <v>47.372500000000002</v>
      </c>
      <c r="G6" s="12">
        <v>37.153333333333336</v>
      </c>
      <c r="H6" s="12">
        <v>25.83666666666667</v>
      </c>
      <c r="I6" s="14">
        <v>35.783229667132886</v>
      </c>
      <c r="J6" s="5"/>
      <c r="K6" s="4">
        <v>47.37</v>
      </c>
    </row>
    <row r="7" spans="1:11">
      <c r="A7" s="9" t="s">
        <v>32</v>
      </c>
      <c r="B7" t="s">
        <v>26</v>
      </c>
      <c r="C7" t="s">
        <v>68</v>
      </c>
      <c r="D7" t="s">
        <v>61</v>
      </c>
      <c r="E7">
        <v>0</v>
      </c>
      <c r="F7" s="9">
        <v>33.604285714285723</v>
      </c>
      <c r="G7" s="12">
        <v>17.454999999999998</v>
      </c>
      <c r="H7" s="12">
        <v>17.454999999999998</v>
      </c>
      <c r="I7" s="5">
        <v>13.039868412690929</v>
      </c>
      <c r="J7" s="5"/>
      <c r="K7" s="4">
        <v>33.6</v>
      </c>
    </row>
    <row r="8" spans="1:11">
      <c r="A8" s="9" t="s">
        <v>33</v>
      </c>
      <c r="B8" t="s">
        <v>26</v>
      </c>
      <c r="C8" t="s">
        <v>70</v>
      </c>
      <c r="D8" t="s">
        <v>61</v>
      </c>
      <c r="E8">
        <v>0</v>
      </c>
      <c r="F8" s="9">
        <v>61.96</v>
      </c>
      <c r="G8" s="12">
        <v>61.96</v>
      </c>
      <c r="H8" s="12">
        <v>55.679938253968253</v>
      </c>
      <c r="I8" s="5">
        <v>61.96</v>
      </c>
      <c r="J8" s="5"/>
      <c r="K8" s="4">
        <v>61.96</v>
      </c>
    </row>
    <row r="9" spans="1:11">
      <c r="A9" s="9" t="s">
        <v>34</v>
      </c>
      <c r="B9" t="s">
        <v>26</v>
      </c>
      <c r="C9" t="s">
        <v>70</v>
      </c>
      <c r="D9" t="s">
        <v>61</v>
      </c>
      <c r="E9">
        <v>1</v>
      </c>
      <c r="F9" s="9">
        <v>31.96</v>
      </c>
      <c r="G9" s="12">
        <v>31.96</v>
      </c>
      <c r="H9" s="12">
        <v>25.679938253968256</v>
      </c>
      <c r="I9" s="5">
        <v>31.96</v>
      </c>
      <c r="J9" s="5"/>
      <c r="K9" s="4">
        <v>31.96</v>
      </c>
    </row>
    <row r="10" spans="1:11">
      <c r="A10" s="9" t="s">
        <v>35</v>
      </c>
      <c r="B10" t="s">
        <v>26</v>
      </c>
      <c r="C10" t="s">
        <v>71</v>
      </c>
      <c r="D10" t="s">
        <v>61</v>
      </c>
      <c r="E10">
        <v>0</v>
      </c>
      <c r="F10" s="9">
        <v>49.21</v>
      </c>
      <c r="G10" s="12">
        <v>49.21</v>
      </c>
      <c r="H10" s="12">
        <v>33.98791261904762</v>
      </c>
      <c r="I10" s="5">
        <v>49.21</v>
      </c>
      <c r="J10" s="5"/>
      <c r="K10" s="4">
        <v>49.21</v>
      </c>
    </row>
    <row r="11" spans="1:11">
      <c r="A11" s="9" t="s">
        <v>36</v>
      </c>
      <c r="B11" t="s">
        <v>26</v>
      </c>
      <c r="C11" t="s">
        <v>71</v>
      </c>
      <c r="D11" t="s">
        <v>61</v>
      </c>
      <c r="E11">
        <v>1</v>
      </c>
      <c r="F11" s="9">
        <v>19.21</v>
      </c>
      <c r="G11" s="12">
        <v>19.21</v>
      </c>
      <c r="H11" s="12">
        <v>3.9879126190476182</v>
      </c>
      <c r="I11" s="5">
        <v>19.21</v>
      </c>
      <c r="J11" s="5"/>
      <c r="K11" s="4">
        <v>19.21</v>
      </c>
    </row>
    <row r="12" spans="1:11">
      <c r="A12" s="9" t="s">
        <v>37</v>
      </c>
      <c r="B12" t="s">
        <v>69</v>
      </c>
      <c r="C12" t="s">
        <v>70</v>
      </c>
      <c r="D12" t="s">
        <v>61</v>
      </c>
      <c r="E12">
        <v>0</v>
      </c>
      <c r="F12" s="17">
        <v>69.400000000000006</v>
      </c>
      <c r="G12" s="12">
        <v>45.95</v>
      </c>
      <c r="H12" s="12">
        <v>40.17</v>
      </c>
      <c r="I12" s="5">
        <v>73.202034955159235</v>
      </c>
      <c r="J12" s="5">
        <v>69.681656804733734</v>
      </c>
      <c r="K12" s="4">
        <v>69.680000000000007</v>
      </c>
    </row>
    <row r="13" spans="1:11">
      <c r="A13" s="9" t="s">
        <v>38</v>
      </c>
      <c r="B13" t="s">
        <v>69</v>
      </c>
      <c r="C13" t="s">
        <v>71</v>
      </c>
      <c r="D13" t="s">
        <v>61</v>
      </c>
      <c r="E13">
        <v>0</v>
      </c>
      <c r="F13" s="9">
        <v>52.042608695652177</v>
      </c>
      <c r="G13" s="12">
        <v>37.25</v>
      </c>
      <c r="H13" s="12">
        <v>23.240000000000002</v>
      </c>
      <c r="I13" s="5">
        <v>36.093128178402381</v>
      </c>
      <c r="J13" s="5"/>
      <c r="K13" s="4">
        <v>52.04</v>
      </c>
    </row>
    <row r="14" spans="1:11">
      <c r="A14" s="9" t="s">
        <v>39</v>
      </c>
      <c r="B14" t="s">
        <v>24</v>
      </c>
      <c r="C14" t="s">
        <v>67</v>
      </c>
      <c r="D14" t="s">
        <v>62</v>
      </c>
      <c r="E14">
        <v>0</v>
      </c>
      <c r="F14" s="9">
        <v>47.527631578947357</v>
      </c>
      <c r="G14" s="12">
        <v>31.166666666666668</v>
      </c>
      <c r="H14" s="12">
        <v>21.946666666666669</v>
      </c>
      <c r="I14" s="5">
        <v>40.719302670851889</v>
      </c>
      <c r="J14" s="5"/>
      <c r="K14" s="4">
        <v>47.53</v>
      </c>
    </row>
    <row r="15" spans="1:11">
      <c r="A15" s="9" t="s">
        <v>40</v>
      </c>
      <c r="B15" t="s">
        <v>24</v>
      </c>
      <c r="C15" t="s">
        <v>68</v>
      </c>
      <c r="D15" t="s">
        <v>62</v>
      </c>
      <c r="E15">
        <v>0</v>
      </c>
      <c r="F15" s="12">
        <v>23.33632653061224</v>
      </c>
      <c r="G15" s="12">
        <v>18.82</v>
      </c>
      <c r="H15" s="12">
        <v>18.82</v>
      </c>
      <c r="I15" s="5">
        <v>13.039868412690929</v>
      </c>
      <c r="J15" s="5"/>
      <c r="K15" s="4">
        <v>23.34</v>
      </c>
    </row>
    <row r="16" spans="1:11">
      <c r="A16" s="9" t="s">
        <v>41</v>
      </c>
      <c r="B16" t="s">
        <v>25</v>
      </c>
      <c r="C16" t="s">
        <v>67</v>
      </c>
      <c r="D16" t="s">
        <v>62</v>
      </c>
      <c r="E16">
        <v>0</v>
      </c>
      <c r="F16" s="12">
        <v>49.967500000000001</v>
      </c>
      <c r="G16" s="12">
        <v>35.696666666666665</v>
      </c>
      <c r="H16" s="12">
        <v>25.256666666666664</v>
      </c>
      <c r="I16" s="5">
        <v>34.776972270553657</v>
      </c>
      <c r="J16" s="5"/>
      <c r="K16" s="4">
        <v>49.97</v>
      </c>
    </row>
    <row r="17" spans="1:11">
      <c r="A17" s="9" t="s">
        <v>42</v>
      </c>
      <c r="B17" t="s">
        <v>25</v>
      </c>
      <c r="C17" t="s">
        <v>68</v>
      </c>
      <c r="D17" t="s">
        <v>62</v>
      </c>
      <c r="E17">
        <v>0</v>
      </c>
      <c r="F17" s="9">
        <v>33.885599999999997</v>
      </c>
      <c r="G17" s="12">
        <v>17.520000000000003</v>
      </c>
      <c r="H17" s="12">
        <v>17.520000000000003</v>
      </c>
      <c r="I17" s="5">
        <v>13.039868412690929</v>
      </c>
      <c r="J17" s="5"/>
      <c r="K17" s="4">
        <v>33.89</v>
      </c>
    </row>
    <row r="18" spans="1:11">
      <c r="A18" s="9" t="s">
        <v>43</v>
      </c>
      <c r="B18" t="s">
        <v>26</v>
      </c>
      <c r="C18" t="s">
        <v>67</v>
      </c>
      <c r="D18" t="s">
        <v>62</v>
      </c>
      <c r="E18">
        <v>0</v>
      </c>
      <c r="F18" s="9">
        <v>47.372500000000002</v>
      </c>
      <c r="G18" s="12">
        <v>38.013333333333335</v>
      </c>
      <c r="H18" s="12">
        <v>26.696666666666669</v>
      </c>
      <c r="I18" s="14">
        <v>35.783229667132886</v>
      </c>
      <c r="J18" s="5"/>
      <c r="K18" s="4">
        <v>47.37</v>
      </c>
    </row>
    <row r="19" spans="1:11">
      <c r="A19" s="9" t="s">
        <v>44</v>
      </c>
      <c r="B19" t="s">
        <v>26</v>
      </c>
      <c r="C19" t="s">
        <v>68</v>
      </c>
      <c r="D19" t="s">
        <v>62</v>
      </c>
      <c r="E19">
        <v>0</v>
      </c>
      <c r="F19" s="9">
        <v>33.604285714285723</v>
      </c>
      <c r="G19" s="12">
        <v>18.314999999999998</v>
      </c>
      <c r="H19" s="12">
        <v>18.314999999999998</v>
      </c>
      <c r="I19" s="5">
        <v>13.039868412690929</v>
      </c>
      <c r="J19" s="5"/>
      <c r="K19" s="4">
        <v>33.6</v>
      </c>
    </row>
    <row r="20" spans="1:11">
      <c r="A20" s="9" t="s">
        <v>45</v>
      </c>
      <c r="B20" t="s">
        <v>26</v>
      </c>
      <c r="C20" t="s">
        <v>70</v>
      </c>
      <c r="D20" t="s">
        <v>62</v>
      </c>
      <c r="E20">
        <v>0</v>
      </c>
      <c r="F20" s="9">
        <v>61.96</v>
      </c>
      <c r="G20" s="12">
        <v>67.010000000000005</v>
      </c>
      <c r="H20" s="12">
        <v>60.729938253968257</v>
      </c>
      <c r="I20" s="5">
        <v>61.96</v>
      </c>
      <c r="J20" s="5"/>
      <c r="K20" s="4">
        <v>61.96</v>
      </c>
    </row>
    <row r="21" spans="1:11">
      <c r="A21" s="9" t="s">
        <v>46</v>
      </c>
      <c r="B21" t="s">
        <v>26</v>
      </c>
      <c r="C21" t="s">
        <v>70</v>
      </c>
      <c r="D21" t="s">
        <v>62</v>
      </c>
      <c r="E21">
        <v>1</v>
      </c>
      <c r="F21" s="9">
        <v>31.96</v>
      </c>
      <c r="G21" s="12">
        <v>37.010000000000005</v>
      </c>
      <c r="H21" s="12">
        <v>30.72993825396826</v>
      </c>
      <c r="I21" s="5">
        <v>31.96</v>
      </c>
      <c r="J21" s="5"/>
      <c r="K21" s="4">
        <v>31.96</v>
      </c>
    </row>
    <row r="22" spans="1:11">
      <c r="A22" s="9" t="s">
        <v>47</v>
      </c>
      <c r="B22" t="s">
        <v>26</v>
      </c>
      <c r="C22" t="s">
        <v>71</v>
      </c>
      <c r="D22" t="s">
        <v>62</v>
      </c>
      <c r="E22">
        <v>0</v>
      </c>
      <c r="F22" s="9">
        <v>49.21</v>
      </c>
      <c r="G22" s="12">
        <v>54.26</v>
      </c>
      <c r="H22" s="12">
        <v>39.037912619047617</v>
      </c>
      <c r="I22" s="5">
        <v>49.21</v>
      </c>
      <c r="J22" s="5"/>
      <c r="K22" s="4">
        <v>49.21</v>
      </c>
    </row>
    <row r="23" spans="1:11">
      <c r="A23" s="9" t="s">
        <v>48</v>
      </c>
      <c r="B23" t="s">
        <v>26</v>
      </c>
      <c r="C23" t="s">
        <v>71</v>
      </c>
      <c r="D23" t="s">
        <v>62</v>
      </c>
      <c r="E23">
        <v>1</v>
      </c>
      <c r="F23" s="9">
        <v>19.21</v>
      </c>
      <c r="G23" s="12">
        <v>24.259999999999998</v>
      </c>
      <c r="H23" s="12">
        <v>9.0379126190476153</v>
      </c>
      <c r="I23" s="5">
        <v>19.21</v>
      </c>
      <c r="J23" s="5"/>
      <c r="K23" s="4">
        <v>19.21</v>
      </c>
    </row>
    <row r="24" spans="1:11">
      <c r="A24" s="9" t="s">
        <v>49</v>
      </c>
      <c r="B24" t="s">
        <v>69</v>
      </c>
      <c r="C24" t="s">
        <v>70</v>
      </c>
      <c r="D24" t="s">
        <v>62</v>
      </c>
      <c r="E24">
        <v>0</v>
      </c>
      <c r="F24" s="17">
        <v>69.400000000000006</v>
      </c>
      <c r="G24" s="12">
        <v>48.59</v>
      </c>
      <c r="H24" s="12">
        <v>42.81</v>
      </c>
      <c r="I24" s="5">
        <v>73.202034955159235</v>
      </c>
      <c r="J24" s="5">
        <v>69.681656804733734</v>
      </c>
      <c r="K24" s="4">
        <v>69.680000000000007</v>
      </c>
    </row>
    <row r="25" spans="1:11">
      <c r="A25" s="9" t="s">
        <v>50</v>
      </c>
      <c r="B25" t="s">
        <v>69</v>
      </c>
      <c r="C25" t="s">
        <v>71</v>
      </c>
      <c r="D25" t="s">
        <v>62</v>
      </c>
      <c r="E25">
        <v>0</v>
      </c>
      <c r="F25" s="9">
        <v>52.042608695652177</v>
      </c>
      <c r="G25" s="12">
        <v>37.25</v>
      </c>
      <c r="H25" s="12">
        <v>23.240000000000002</v>
      </c>
      <c r="I25" s="5">
        <v>36.093128178402381</v>
      </c>
      <c r="J25" s="5"/>
      <c r="K25" s="4">
        <v>52.04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939E-5768-9B41-A326-EA5E977BD18F}">
  <dimension ref="A1:C4"/>
  <sheetViews>
    <sheetView workbookViewId="0"/>
  </sheetViews>
  <sheetFormatPr baseColWidth="10" defaultRowHeight="16"/>
  <cols>
    <col min="2" max="2" width="11.42578125" bestFit="1" customWidth="1"/>
    <col min="3" max="3" width="15.7109375" bestFit="1" customWidth="1"/>
  </cols>
  <sheetData>
    <row r="1" spans="1:3">
      <c r="A1" t="s">
        <v>76</v>
      </c>
      <c r="B1" t="s">
        <v>59</v>
      </c>
      <c r="C1" t="s">
        <v>60</v>
      </c>
    </row>
    <row r="2" spans="1:3">
      <c r="A2" t="s">
        <v>56</v>
      </c>
      <c r="B2">
        <v>80.360000000000014</v>
      </c>
      <c r="C2">
        <v>74.03</v>
      </c>
    </row>
    <row r="3" spans="1:3">
      <c r="A3" t="s">
        <v>57</v>
      </c>
      <c r="B3" s="5">
        <v>79.552000000000007</v>
      </c>
      <c r="C3">
        <v>69.400000000000006</v>
      </c>
    </row>
    <row r="4" spans="1:3">
      <c r="A4" t="s">
        <v>58</v>
      </c>
      <c r="B4">
        <v>80.360000000000014</v>
      </c>
      <c r="C4">
        <v>74.03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831A-65A0-2A40-B156-D3C4599ECEA7}">
  <dimension ref="A1:B5"/>
  <sheetViews>
    <sheetView workbookViewId="0">
      <selection activeCell="B2" sqref="B2"/>
    </sheetView>
  </sheetViews>
  <sheetFormatPr baseColWidth="10" defaultRowHeight="16"/>
  <sheetData>
    <row r="1" spans="1:2">
      <c r="A1" s="4" t="s">
        <v>63</v>
      </c>
      <c r="B1" t="s">
        <v>82</v>
      </c>
    </row>
    <row r="2" spans="1:2">
      <c r="A2" s="4" t="s">
        <v>24</v>
      </c>
      <c r="B2">
        <v>126.13</v>
      </c>
    </row>
    <row r="3" spans="1:2">
      <c r="A3" s="4" t="s">
        <v>25</v>
      </c>
      <c r="B3">
        <v>129.65</v>
      </c>
    </row>
    <row r="4" spans="1:2">
      <c r="A4" s="4" t="s">
        <v>26</v>
      </c>
      <c r="B4">
        <v>126.37</v>
      </c>
    </row>
    <row r="5" spans="1:2">
      <c r="A5" s="4" t="s">
        <v>69</v>
      </c>
      <c r="B5">
        <v>81.510000000000005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D0E0-AD07-3E44-82F1-96DDA3CC1B29}">
  <dimension ref="A1:C9"/>
  <sheetViews>
    <sheetView workbookViewId="0">
      <selection activeCell="B2" sqref="B2"/>
    </sheetView>
  </sheetViews>
  <sheetFormatPr baseColWidth="10" defaultRowHeight="16"/>
  <cols>
    <col min="3" max="3" width="13.140625" bestFit="1" customWidth="1"/>
  </cols>
  <sheetData>
    <row r="1" spans="1:3">
      <c r="A1" t="s">
        <v>63</v>
      </c>
      <c r="B1" t="s">
        <v>77</v>
      </c>
      <c r="C1" t="s">
        <v>83</v>
      </c>
    </row>
    <row r="2" spans="1:3">
      <c r="A2" t="s">
        <v>24</v>
      </c>
      <c r="B2" t="s">
        <v>61</v>
      </c>
      <c r="C2">
        <v>7.4999999999999997E-2</v>
      </c>
    </row>
    <row r="3" spans="1:3">
      <c r="A3" t="s">
        <v>25</v>
      </c>
      <c r="B3" t="s">
        <v>61</v>
      </c>
      <c r="C3">
        <v>1</v>
      </c>
    </row>
    <row r="4" spans="1:3">
      <c r="A4" s="4" t="s">
        <v>69</v>
      </c>
      <c r="B4" t="s">
        <v>61</v>
      </c>
      <c r="C4">
        <v>0.15</v>
      </c>
    </row>
    <row r="5" spans="1:3">
      <c r="A5" t="s">
        <v>26</v>
      </c>
      <c r="B5" t="s">
        <v>61</v>
      </c>
      <c r="C5">
        <v>0.5</v>
      </c>
    </row>
    <row r="6" spans="1:3">
      <c r="A6" t="s">
        <v>24</v>
      </c>
      <c r="B6" t="s">
        <v>62</v>
      </c>
      <c r="C6">
        <v>0.2</v>
      </c>
    </row>
    <row r="7" spans="1:3">
      <c r="A7" t="s">
        <v>25</v>
      </c>
      <c r="B7" t="s">
        <v>62</v>
      </c>
      <c r="C7">
        <v>1</v>
      </c>
    </row>
    <row r="8" spans="1:3">
      <c r="A8" s="4" t="s">
        <v>69</v>
      </c>
      <c r="B8" t="s">
        <v>62</v>
      </c>
      <c r="C8">
        <v>0.15</v>
      </c>
    </row>
    <row r="9" spans="1:3">
      <c r="A9" t="s">
        <v>26</v>
      </c>
      <c r="B9" t="s">
        <v>62</v>
      </c>
      <c r="C9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4A9E-C248-6044-ABA6-526BDF6F651C}">
  <dimension ref="A1:B5"/>
  <sheetViews>
    <sheetView workbookViewId="0">
      <selection activeCell="A5" sqref="A5"/>
    </sheetView>
  </sheetViews>
  <sheetFormatPr baseColWidth="10" defaultRowHeight="16"/>
  <sheetData>
    <row r="1" spans="1:2">
      <c r="A1" s="4" t="s">
        <v>63</v>
      </c>
      <c r="B1" t="s">
        <v>78</v>
      </c>
    </row>
    <row r="2" spans="1:2">
      <c r="A2" s="4" t="s">
        <v>24</v>
      </c>
      <c r="B2" s="6">
        <v>1.5</v>
      </c>
    </row>
    <row r="3" spans="1:2">
      <c r="A3" s="4" t="s">
        <v>25</v>
      </c>
      <c r="B3" s="6">
        <v>1.7</v>
      </c>
    </row>
    <row r="4" spans="1:2">
      <c r="A4" s="4" t="s">
        <v>26</v>
      </c>
      <c r="B4" s="6">
        <v>1.6</v>
      </c>
    </row>
    <row r="5" spans="1:2">
      <c r="A5" s="4" t="s">
        <v>69</v>
      </c>
      <c r="B5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981E-4A2C-0349-8C93-0010C362AC4A}">
  <dimension ref="A1:M7"/>
  <sheetViews>
    <sheetView workbookViewId="0">
      <selection activeCell="D29" sqref="D29"/>
    </sheetView>
  </sheetViews>
  <sheetFormatPr baseColWidth="10" defaultRowHeight="16"/>
  <sheetData>
    <row r="1" spans="1:13">
      <c r="B1" t="s">
        <v>63</v>
      </c>
      <c r="C1" t="s">
        <v>77</v>
      </c>
      <c r="D1" t="s">
        <v>76</v>
      </c>
      <c r="E1" t="s">
        <v>79</v>
      </c>
      <c r="F1" t="s">
        <v>82</v>
      </c>
      <c r="G1" t="s">
        <v>86</v>
      </c>
    </row>
    <row r="2" spans="1:13">
      <c r="A2" s="15" t="s">
        <v>87</v>
      </c>
      <c r="B2" s="15" t="s">
        <v>88</v>
      </c>
      <c r="C2" s="15" t="s">
        <v>61</v>
      </c>
      <c r="D2" s="15" t="s">
        <v>56</v>
      </c>
      <c r="E2" s="15">
        <v>100.45</v>
      </c>
      <c r="F2" s="15">
        <v>134.47</v>
      </c>
      <c r="G2" s="5">
        <v>91.94362989972808</v>
      </c>
      <c r="H2" s="15"/>
      <c r="I2" s="15"/>
      <c r="J2" s="15"/>
      <c r="K2" s="15"/>
      <c r="L2" s="15"/>
      <c r="M2" s="15"/>
    </row>
    <row r="3" spans="1:13">
      <c r="A3" s="15" t="s">
        <v>89</v>
      </c>
      <c r="B3" s="15" t="s">
        <v>90</v>
      </c>
      <c r="C3" s="15" t="s">
        <v>61</v>
      </c>
      <c r="D3" s="15" t="s">
        <v>57</v>
      </c>
      <c r="E3" s="15">
        <v>100.82</v>
      </c>
      <c r="F3" s="15">
        <v>119.53</v>
      </c>
      <c r="G3" s="16">
        <v>93.079660873569949</v>
      </c>
      <c r="H3" s="15"/>
      <c r="I3" s="15"/>
      <c r="J3" s="15"/>
      <c r="K3" s="15"/>
      <c r="L3" s="15"/>
      <c r="M3" s="15"/>
    </row>
    <row r="4" spans="1:13">
      <c r="A4" s="15" t="s">
        <v>91</v>
      </c>
      <c r="B4" s="15" t="s">
        <v>92</v>
      </c>
      <c r="C4" s="15" t="s">
        <v>61</v>
      </c>
      <c r="D4" s="15" t="s">
        <v>58</v>
      </c>
      <c r="E4" s="15">
        <v>89</v>
      </c>
      <c r="F4" s="15">
        <v>126.37</v>
      </c>
      <c r="G4" s="5">
        <v>89</v>
      </c>
      <c r="H4" s="15"/>
      <c r="I4" s="15"/>
      <c r="J4" s="15"/>
      <c r="K4" s="15"/>
      <c r="L4" s="15"/>
      <c r="M4" s="15"/>
    </row>
    <row r="5" spans="1:13">
      <c r="A5" s="15" t="s">
        <v>93</v>
      </c>
      <c r="B5" s="15" t="s">
        <v>88</v>
      </c>
      <c r="C5" s="15" t="s">
        <v>62</v>
      </c>
      <c r="D5" s="15" t="s">
        <v>56</v>
      </c>
      <c r="E5" s="15">
        <v>100.45</v>
      </c>
      <c r="F5" s="15">
        <v>134.47</v>
      </c>
      <c r="G5" s="5">
        <v>91.94362989972808</v>
      </c>
      <c r="H5" s="15"/>
      <c r="I5" s="15"/>
      <c r="J5" s="15"/>
      <c r="K5" s="15"/>
      <c r="L5" s="15"/>
      <c r="M5" s="15"/>
    </row>
    <row r="6" spans="1:13">
      <c r="A6" s="15" t="s">
        <v>94</v>
      </c>
      <c r="B6" s="15" t="s">
        <v>90</v>
      </c>
      <c r="C6" s="15" t="s">
        <v>62</v>
      </c>
      <c r="D6" s="15" t="s">
        <v>57</v>
      </c>
      <c r="E6" s="15">
        <v>100.82</v>
      </c>
      <c r="F6" s="15">
        <v>119.53</v>
      </c>
      <c r="G6" s="16">
        <v>93.079660873569949</v>
      </c>
      <c r="H6" s="15"/>
      <c r="I6" s="15"/>
      <c r="J6" s="15"/>
      <c r="K6" s="15"/>
      <c r="L6" s="15"/>
      <c r="M6" s="15"/>
    </row>
    <row r="7" spans="1:13">
      <c r="A7" s="15" t="s">
        <v>95</v>
      </c>
      <c r="B7" s="15" t="s">
        <v>92</v>
      </c>
      <c r="C7" s="15" t="s">
        <v>62</v>
      </c>
      <c r="D7" s="15" t="s">
        <v>58</v>
      </c>
      <c r="E7" s="15">
        <v>89</v>
      </c>
      <c r="F7" s="15">
        <v>126.37</v>
      </c>
      <c r="G7" s="5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phi</vt:lpstr>
      <vt:lpstr>PC</vt:lpstr>
      <vt:lpstr>Conversion</vt:lpstr>
      <vt:lpstr>CI</vt:lpstr>
      <vt:lpstr>LCFS_standards</vt:lpstr>
      <vt:lpstr>ED_LCFS</vt:lpstr>
      <vt:lpstr>BW_constraint</vt:lpstr>
      <vt:lpstr>RFS_kappa</vt:lpstr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Mengying Wu</dc:creator>
  <cp:lastModifiedBy>Mengying Wu</cp:lastModifiedBy>
  <dcterms:created xsi:type="dcterms:W3CDTF">2025-04-17T00:22:24Z</dcterms:created>
  <dcterms:modified xsi:type="dcterms:W3CDTF">2025-10-26T21:30:50Z</dcterms:modified>
</cp:coreProperties>
</file>